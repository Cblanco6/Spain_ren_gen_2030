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y_values" sheetId="1" r:id="rId4"/>
  </sheets>
  <definedNames/>
  <calcPr/>
  <extLst>
    <ext uri="GoogleSheetsCustomDataVersion2">
      <go:sheetsCustomData xmlns:go="http://customooxmlschemas.google.com/" r:id="rId5" roundtripDataChecksum="ZsUS8pjsJ9ptX+vncZl8TrYEHCfPzQzItg2AMz8sWNA="/>
    </ext>
  </extLst>
</workbook>
</file>

<file path=xl/sharedStrings.xml><?xml version="1.0" encoding="utf-8"?>
<sst xmlns="http://schemas.openxmlformats.org/spreadsheetml/2006/main" count="6" uniqueCount="6">
  <si>
    <t>year</t>
  </si>
  <si>
    <t>cost_usd_pound</t>
  </si>
  <si>
    <t>cost_usd_kg</t>
  </si>
  <si>
    <t>exchange_rate</t>
  </si>
  <si>
    <t>cost_eur_kg</t>
  </si>
  <si>
    <t>cost_uranium_eur_mwh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</si>
</sst>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7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sz val="10.0"/>
      <color rgb="FF26324B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E0E5F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64" xfId="0" applyAlignment="1" applyFont="1" applyNumberFormat="1">
      <alignment horizontal="right"/>
    </xf>
    <xf borderId="0" fillId="0" fontId="2" numFmtId="2" xfId="0" applyFont="1" applyNumberFormat="1"/>
    <xf borderId="0" fillId="0" fontId="3" numFmtId="2" xfId="0" applyFont="1" applyNumberFormat="1"/>
    <xf borderId="1" fillId="0" fontId="5" numFmtId="2" xfId="0" applyBorder="1" applyFont="1" applyNumberFormat="1"/>
    <xf borderId="0" fillId="0" fontId="6" numFmtId="0" xfId="0" applyFon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25"/>
    <col customWidth="1" min="3" max="3" width="10.38"/>
    <col customWidth="1" min="4" max="4" width="12.0"/>
    <col customWidth="1" min="5" max="5" width="10.13"/>
    <col customWidth="1" min="6" max="6" width="18.75"/>
    <col customWidth="1" min="7" max="26" width="10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ht="12.75" customHeight="1">
      <c r="A2" s="4">
        <v>43831.0</v>
      </c>
      <c r="B2" s="5">
        <v>29.431</v>
      </c>
      <c r="C2" s="6">
        <f t="shared" ref="C2:C6" si="1">B2*2.2</f>
        <v>64.7482</v>
      </c>
      <c r="D2" s="7">
        <v>1.14</v>
      </c>
      <c r="E2" s="6">
        <f t="shared" ref="E2:E6" si="2">C2/D2</f>
        <v>56.79666667</v>
      </c>
      <c r="F2" s="8">
        <f t="shared" ref="F2:F6" si="3">E2*0.9</f>
        <v>51.117</v>
      </c>
    </row>
    <row r="3" ht="12.75" customHeight="1">
      <c r="A3" s="4">
        <v>44197.0</v>
      </c>
      <c r="B3" s="5">
        <v>32.856</v>
      </c>
      <c r="C3" s="6">
        <f t="shared" si="1"/>
        <v>72.2832</v>
      </c>
      <c r="D3" s="9">
        <v>1.18</v>
      </c>
      <c r="E3" s="6">
        <f t="shared" si="2"/>
        <v>61.25694915</v>
      </c>
      <c r="F3" s="8">
        <f t="shared" si="3"/>
        <v>55.13125424</v>
      </c>
    </row>
    <row r="4" ht="12.75" customHeight="1">
      <c r="A4" s="4">
        <v>44562.0</v>
      </c>
      <c r="B4" s="5">
        <v>40.773</v>
      </c>
      <c r="C4" s="6">
        <f t="shared" si="1"/>
        <v>89.7006</v>
      </c>
      <c r="D4" s="5">
        <v>1.05</v>
      </c>
      <c r="E4" s="6">
        <f t="shared" si="2"/>
        <v>85.42914286</v>
      </c>
      <c r="F4" s="8">
        <f t="shared" si="3"/>
        <v>76.88622857</v>
      </c>
    </row>
    <row r="5" ht="12.75" customHeight="1">
      <c r="A5" s="4">
        <v>44927.0</v>
      </c>
      <c r="B5" s="5">
        <v>48.989</v>
      </c>
      <c r="C5" s="6">
        <f t="shared" si="1"/>
        <v>107.7758</v>
      </c>
      <c r="D5" s="5">
        <v>1.08</v>
      </c>
      <c r="E5" s="6">
        <f t="shared" si="2"/>
        <v>99.79240741</v>
      </c>
      <c r="F5" s="8">
        <f t="shared" si="3"/>
        <v>89.81316667</v>
      </c>
    </row>
    <row r="6" ht="12.75" customHeight="1">
      <c r="A6" s="4">
        <v>45292.0</v>
      </c>
      <c r="B6" s="5">
        <v>69.694</v>
      </c>
      <c r="C6" s="6">
        <f t="shared" si="1"/>
        <v>153.3268</v>
      </c>
      <c r="D6" s="6">
        <v>1.1373</v>
      </c>
      <c r="E6" s="6">
        <f t="shared" si="2"/>
        <v>134.8164952</v>
      </c>
      <c r="F6" s="8">
        <f t="shared" si="3"/>
        <v>121.3348457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