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orive\Desktop\Thesis\Data\"/>
    </mc:Choice>
  </mc:AlternateContent>
  <xr:revisionPtr revIDLastSave="0" documentId="13_ncr:1_{7C355E98-A7F2-4258-A866-F22E45F644AC}" xr6:coauthVersionLast="47" xr6:coauthVersionMax="47" xr10:uidLastSave="{00000000-0000-0000-0000-000000000000}"/>
  <bookViews>
    <workbookView xWindow="-19310" yWindow="-110" windowWidth="19420" windowHeight="10300" xr2:uid="{00000000-000D-0000-FFFF-FFFF00000000}"/>
  </bookViews>
  <sheets>
    <sheet name="Sheet1" sheetId="1" r:id="rId1"/>
    <sheet name="PNIEC(page625)efficiency" sheetId="2" r:id="rId2"/>
    <sheet name="Assumptions" sheetId="3" r:id="rId3"/>
    <sheet name="Sheet1 Backup"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4" l="1"/>
  <c r="H20" i="4"/>
  <c r="D19" i="4"/>
  <c r="C19" i="4"/>
  <c r="B19" i="4"/>
  <c r="D18" i="4"/>
  <c r="C18" i="4"/>
  <c r="B18" i="4"/>
  <c r="D17" i="4"/>
  <c r="C17" i="4"/>
  <c r="B17" i="4"/>
  <c r="F16" i="4"/>
  <c r="I16" i="4" s="1"/>
  <c r="K16" i="4" s="1"/>
  <c r="E16" i="4"/>
  <c r="H16" i="4" s="1"/>
  <c r="J16" i="4" s="1"/>
  <c r="I15" i="4"/>
  <c r="K15" i="4" s="1"/>
  <c r="F15" i="4"/>
  <c r="E15" i="4"/>
  <c r="H15" i="4" s="1"/>
  <c r="J15" i="4" s="1"/>
  <c r="H14" i="4"/>
  <c r="J14" i="4" s="1"/>
  <c r="F14" i="4"/>
  <c r="I14" i="4" s="1"/>
  <c r="K14" i="4" s="1"/>
  <c r="E14" i="4"/>
  <c r="I13" i="4"/>
  <c r="K13" i="4" s="1"/>
  <c r="F13" i="4"/>
  <c r="E13" i="4"/>
  <c r="H13" i="4" s="1"/>
  <c r="J13" i="4" s="1"/>
  <c r="F12" i="4"/>
  <c r="I12" i="4" s="1"/>
  <c r="K12" i="4" s="1"/>
  <c r="E12" i="4"/>
  <c r="H12" i="4" s="1"/>
  <c r="J12" i="4" s="1"/>
  <c r="F11" i="4"/>
  <c r="E11" i="4"/>
  <c r="H11" i="4" s="1"/>
  <c r="J11" i="4" s="1"/>
  <c r="F10" i="4"/>
  <c r="I10" i="4" s="1"/>
  <c r="K10" i="4" s="1"/>
  <c r="E10" i="4"/>
  <c r="H10" i="4" s="1"/>
  <c r="J10" i="4" s="1"/>
  <c r="F9" i="4"/>
  <c r="I9" i="4" s="1"/>
  <c r="K9" i="4" s="1"/>
  <c r="E9" i="4"/>
  <c r="H9" i="4" s="1"/>
  <c r="J9" i="4" s="1"/>
  <c r="F8" i="4"/>
  <c r="F17" i="4" s="1"/>
  <c r="I17" i="4" s="1"/>
  <c r="K17" i="4" s="1"/>
  <c r="E8" i="4"/>
  <c r="H8" i="4" s="1"/>
  <c r="J8" i="4" s="1"/>
  <c r="I7" i="4"/>
  <c r="K7" i="4" s="1"/>
  <c r="F7" i="4"/>
  <c r="E7" i="4"/>
  <c r="H7" i="4" s="1"/>
  <c r="J7" i="4" s="1"/>
  <c r="H6" i="4"/>
  <c r="J6" i="4" s="1"/>
  <c r="F6" i="4"/>
  <c r="I6" i="4" s="1"/>
  <c r="K6" i="4" s="1"/>
  <c r="E6" i="4"/>
  <c r="I5" i="4"/>
  <c r="K5" i="4" s="1"/>
  <c r="F5" i="4"/>
  <c r="E5" i="4"/>
  <c r="H5" i="4" s="1"/>
  <c r="J5" i="4" s="1"/>
  <c r="F4" i="4"/>
  <c r="I4" i="4" s="1"/>
  <c r="K4" i="4" s="1"/>
  <c r="E4" i="4"/>
  <c r="H4" i="4" s="1"/>
  <c r="J4" i="4" s="1"/>
  <c r="I3" i="4"/>
  <c r="K3" i="4" s="1"/>
  <c r="F3" i="4"/>
  <c r="E3" i="4"/>
  <c r="H3" i="4" s="1"/>
  <c r="J3" i="4" s="1"/>
  <c r="H2" i="4"/>
  <c r="J2" i="4" s="1"/>
  <c r="F2" i="4"/>
  <c r="F18" i="4" s="1"/>
  <c r="I18" i="4" s="1"/>
  <c r="K18" i="4" s="1"/>
  <c r="E2" i="4"/>
  <c r="E20" i="2"/>
  <c r="D20" i="2"/>
  <c r="C20" i="2"/>
  <c r="B20" i="2"/>
  <c r="E19" i="2"/>
  <c r="D19" i="2"/>
  <c r="C19" i="2"/>
  <c r="B19" i="2"/>
  <c r="E18" i="2"/>
  <c r="D18" i="2"/>
  <c r="C18" i="2"/>
  <c r="B18" i="2"/>
  <c r="E18" i="4" l="1"/>
  <c r="H18" i="4" s="1"/>
  <c r="J18" i="4" s="1"/>
  <c r="F19" i="4"/>
  <c r="I19" i="4" s="1"/>
  <c r="K19" i="4" s="1"/>
  <c r="I11" i="4"/>
  <c r="K11" i="4" s="1"/>
  <c r="E17" i="4"/>
  <c r="H17" i="4" s="1"/>
  <c r="J17" i="4" s="1"/>
  <c r="I2" i="4"/>
  <c r="K2" i="4" s="1"/>
  <c r="I8" i="4"/>
  <c r="K8" i="4" s="1"/>
  <c r="E19" i="4"/>
  <c r="H19" i="4" s="1"/>
  <c r="J19" i="4" s="1"/>
</calcChain>
</file>

<file path=xl/sharedStrings.xml><?xml version="1.0" encoding="utf-8"?>
<sst xmlns="http://schemas.openxmlformats.org/spreadsheetml/2006/main" count="128" uniqueCount="77">
  <si>
    <t>technology</t>
  </si>
  <si>
    <t>lifecycle_e_tco2_mwh</t>
  </si>
  <si>
    <t>direct_e_tco2_mwh</t>
  </si>
  <si>
    <t>heatrate</t>
  </si>
  <si>
    <t>var_om_eur_mwh</t>
  </si>
  <si>
    <t>fixed_om_eur_mwy</t>
  </si>
  <si>
    <t>efficiency</t>
  </si>
  <si>
    <t>fossil_fuel</t>
  </si>
  <si>
    <t>coal</t>
  </si>
  <si>
    <t>combined_cycle</t>
  </si>
  <si>
    <t>gas_turbine</t>
  </si>
  <si>
    <t>vapor_turbine</t>
  </si>
  <si>
    <t>cogeneration</t>
  </si>
  <si>
    <t>diesel</t>
  </si>
  <si>
    <t>nonrenewable_waste</t>
  </si>
  <si>
    <t>nuclear</t>
  </si>
  <si>
    <t>conventional_hydro</t>
  </si>
  <si>
    <t>run_of_river_hydro</t>
  </si>
  <si>
    <t>pumped_hydro</t>
  </si>
  <si>
    <t>solar_pv</t>
  </si>
  <si>
    <t>solar_thermal</t>
  </si>
  <si>
    <t>wind</t>
  </si>
  <si>
    <t>other_renewable</t>
  </si>
  <si>
    <t>renewable_waste</t>
  </si>
  <si>
    <t>battery</t>
  </si>
  <si>
    <t>capacity_mw</t>
  </si>
  <si>
    <t>diesel_engine</t>
  </si>
  <si>
    <t>nonrenew_waste</t>
  </si>
  <si>
    <t>hydro</t>
  </si>
  <si>
    <t>wind_gen</t>
  </si>
  <si>
    <t>renewable_thermal</t>
  </si>
  <si>
    <t>France_mix</t>
  </si>
  <si>
    <t>Portugal_mix</t>
  </si>
  <si>
    <t>Morocco_mix</t>
  </si>
  <si>
    <t>gas_turbine ( aka. open cycle gas turbine OCGT)</t>
  </si>
  <si>
    <t>NREL efficiency</t>
  </si>
  <si>
    <t>PNIEC efficiencies (same for hard &amp; lignite coal)</t>
  </si>
  <si>
    <t>coal old 1</t>
  </si>
  <si>
    <t>coal old 2</t>
  </si>
  <si>
    <t>coal new</t>
  </si>
  <si>
    <t>gas conventional old 1</t>
  </si>
  <si>
    <t>gas conventional old 2</t>
  </si>
  <si>
    <t>ccgt old 1</t>
  </si>
  <si>
    <t>ccgt old 2</t>
  </si>
  <si>
    <t xml:space="preserve">ccgt present 1 </t>
  </si>
  <si>
    <t>ccgt present 2</t>
  </si>
  <si>
    <t>ccgt new</t>
  </si>
  <si>
    <t>OCGT old</t>
  </si>
  <si>
    <t>OCGT new</t>
  </si>
  <si>
    <t>light oil</t>
  </si>
  <si>
    <t>heavy oil old 1</t>
  </si>
  <si>
    <t>heavy oild old 2</t>
  </si>
  <si>
    <t>Assumptions</t>
  </si>
  <si>
    <t xml:space="preserve">Auxiliar generation was full of combine cycle cause its the most used type of gas and is most probably that the backup generation in spain is gas? </t>
  </si>
  <si>
    <t>All the red numbers are just data given by chatgpt so we can assume per now values that make sense but we still need to double check that and find reliable sources to have official numbers for the thesiss</t>
  </si>
  <si>
    <t>about imports/exports we will assume each country export base on the total generation mix of the 2024 and the share per tech</t>
  </si>
  <si>
    <t>We also assume same values for O&amp;M heatrate etc as in Spain</t>
  </si>
  <si>
    <t xml:space="preserve">Not crazy assumptions </t>
  </si>
  <si>
    <r>
      <t xml:space="preserve">Portugal : </t>
    </r>
    <r>
      <rPr>
        <u/>
        <sz val="10"/>
        <color rgb="FF1155CC"/>
        <rFont val="Arial"/>
      </rPr>
      <t>https://www.apren.pt/en/renewable-energies/production</t>
    </r>
  </si>
  <si>
    <r>
      <t xml:space="preserve">Marroco: </t>
    </r>
    <r>
      <rPr>
        <u/>
        <sz val="10"/>
        <color rgb="FF1155CC"/>
        <rFont val="Arial"/>
      </rPr>
      <t>https://lowcarbonpower.org/region/Morocco</t>
    </r>
  </si>
  <si>
    <t>France: https://www.statista.com/statistics/1263322/electrical-production-by-sector-france/#:~:text=In%202024%2C%20nuclear%20power%20accounted,production%20share%20of%20two%20percent.</t>
  </si>
  <si>
    <t>var_om_eu_kwh</t>
  </si>
  <si>
    <t>fixed_om_eu_kwy</t>
  </si>
  <si>
    <t>efficiency_MWhGenPerMWhFuel</t>
  </si>
  <si>
    <t>2025 USD</t>
  </si>
  <si>
    <t>2025 Euro</t>
  </si>
  <si>
    <t>Var 2022 USD</t>
  </si>
  <si>
    <t>Fixed 2022 USD</t>
  </si>
  <si>
    <t>Var 2025 Euro</t>
  </si>
  <si>
    <t>Fixed 2025 Euro</t>
  </si>
  <si>
    <t>2022_2025 Converter</t>
  </si>
  <si>
    <t>2025USD_2025Euro</t>
  </si>
  <si>
    <t>cogeneration_waste</t>
  </si>
  <si>
    <t>auxiliary_generation</t>
  </si>
  <si>
    <r>
      <t xml:space="preserve">Portugal : </t>
    </r>
    <r>
      <rPr>
        <u/>
        <sz val="10"/>
        <color rgb="FF1155CC"/>
        <rFont val="Arial"/>
      </rPr>
      <t>https://www.apren.pt/en/renewable-energies/production</t>
    </r>
  </si>
  <si>
    <r>
      <t xml:space="preserve">Marroco: </t>
    </r>
    <r>
      <rPr>
        <u/>
        <sz val="10"/>
        <color rgb="FF1155CC"/>
        <rFont val="Arial"/>
      </rPr>
      <t>https://lowcarbonpower.org/region/Morocco</t>
    </r>
  </si>
  <si>
    <t>avg_cap_year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</si>
</sst>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Arial"/>
    </font>
    <font>
      <sz val="11"/>
      <color theme="1"/>
      <name val="Aptos Narrow"/>
    </font>
    <font>
      <sz val="11"/>
      <color theme="1"/>
      <name val="Arial"/>
    </font>
    <font>
      <sz val="10"/>
      <color theme="1"/>
      <name val="Arial"/>
    </font>
    <font>
      <sz val="11"/>
      <color rgb="FF000000"/>
      <name val="Calibri"/>
    </font>
    <font>
      <sz val="10"/>
      <color theme="1"/>
      <name val="Arial"/>
      <scheme val="minor"/>
    </font>
    <font>
      <sz val="10"/>
      <color rgb="FFFF0000"/>
      <name val="Arial"/>
    </font>
    <font>
      <sz val="10"/>
      <color rgb="FFFF0000"/>
      <name val="Arial"/>
      <scheme val="minor"/>
    </font>
    <font>
      <u/>
      <sz val="10"/>
      <color rgb="FF0000FF"/>
      <name val="Arial"/>
    </font>
    <font>
      <u/>
      <sz val="10"/>
      <color rgb="FF1155CC"/>
      <name val="Arial"/>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0000"/>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applyAlignment="1">
      <alignment horizontal="center"/>
    </xf>
    <xf numFmtId="0" fontId="5" fillId="0" borderId="0" xfId="0" applyFont="1" applyAlignment="1">
      <alignment horizontal="right"/>
    </xf>
    <xf numFmtId="0" fontId="4" fillId="0" borderId="0" xfId="0" applyFont="1" applyAlignment="1">
      <alignment horizontal="right"/>
    </xf>
    <xf numFmtId="0" fontId="6" fillId="0" borderId="0" xfId="0" applyFont="1"/>
    <xf numFmtId="0" fontId="6" fillId="0" borderId="0" xfId="0" applyFont="1" applyAlignment="1">
      <alignment vertical="center"/>
    </xf>
    <xf numFmtId="4" fontId="4" fillId="0" borderId="0" xfId="0" applyNumberFormat="1" applyFont="1" applyAlignment="1">
      <alignment horizontal="right"/>
    </xf>
    <xf numFmtId="0" fontId="7" fillId="0" borderId="0" xfId="0" applyFont="1"/>
    <xf numFmtId="0" fontId="8" fillId="0" borderId="0" xfId="0" applyFont="1"/>
    <xf numFmtId="0" fontId="2" fillId="0" borderId="0" xfId="0" applyFont="1" applyAlignment="1">
      <alignment horizontal="right"/>
    </xf>
    <xf numFmtId="0" fontId="4" fillId="2" borderId="0" xfId="0" applyFont="1" applyFill="1" applyAlignment="1">
      <alignment horizontal="right"/>
    </xf>
    <xf numFmtId="0" fontId="2" fillId="2" borderId="0" xfId="0" applyFont="1" applyFill="1" applyAlignment="1">
      <alignment horizontal="right"/>
    </xf>
    <xf numFmtId="0" fontId="6" fillId="2" borderId="0" xfId="0" applyFont="1" applyFill="1"/>
    <xf numFmtId="1" fontId="6" fillId="2" borderId="0" xfId="0" applyNumberFormat="1" applyFont="1" applyFill="1"/>
    <xf numFmtId="4" fontId="4" fillId="2" borderId="0" xfId="0" applyNumberFormat="1" applyFont="1" applyFill="1" applyAlignment="1">
      <alignment horizontal="right"/>
    </xf>
    <xf numFmtId="0" fontId="6" fillId="3" borderId="0" xfId="0" applyFont="1" applyFill="1" applyAlignment="1">
      <alignment vertical="center"/>
    </xf>
    <xf numFmtId="0" fontId="3" fillId="0" borderId="0" xfId="0" applyFont="1" applyAlignment="1">
      <alignment horizontal="right"/>
    </xf>
    <xf numFmtId="1" fontId="6" fillId="0" borderId="0" xfId="0" applyNumberFormat="1" applyFont="1"/>
    <xf numFmtId="0" fontId="7" fillId="0" borderId="0" xfId="0" applyFont="1" applyAlignment="1">
      <alignment horizontal="right"/>
    </xf>
    <xf numFmtId="1" fontId="7" fillId="0" borderId="0" xfId="0" applyNumberFormat="1" applyFont="1" applyAlignment="1">
      <alignment horizontal="right"/>
    </xf>
    <xf numFmtId="1" fontId="7" fillId="0" borderId="0" xfId="0" applyNumberFormat="1" applyFont="1"/>
    <xf numFmtId="0" fontId="9" fillId="0" borderId="0" xfId="0" applyFont="1"/>
    <xf numFmtId="0" fontId="0" fillId="0" borderId="0" xfId="0" applyAlignment="1">
      <alignment horizontal="right"/>
    </xf>
    <xf numFmtId="0" fontId="6"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lowcarbonpower.org/region/Morocco" TargetMode="External"/><Relationship Id="rId1" Type="http://schemas.openxmlformats.org/officeDocument/2006/relationships/hyperlink" Target="https://www.apren.pt/en/renewable-energies/production"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lowcarbonpower.org/region/Morocco" TargetMode="External"/><Relationship Id="rId1" Type="http://schemas.openxmlformats.org/officeDocument/2006/relationships/hyperlink" Target="https://www.apren.pt/en/renewable-energies/produ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9"/>
  <sheetViews>
    <sheetView tabSelected="1" workbookViewId="0">
      <pane xSplit="1" topLeftCell="B1" activePane="topRight" state="frozen"/>
      <selection pane="topRight" activeCell="F7" sqref="F7"/>
    </sheetView>
  </sheetViews>
  <sheetFormatPr baseColWidth="10" defaultColWidth="12.7109375" defaultRowHeight="15.75" customHeight="1" x14ac:dyDescent="0.2"/>
  <cols>
    <col min="1" max="1" width="15.85546875" customWidth="1"/>
    <col min="2" max="2" width="20.42578125" customWidth="1"/>
    <col min="3" max="3" width="21" customWidth="1"/>
    <col min="4" max="5" width="14" customWidth="1"/>
    <col min="6" max="6" width="16.85546875" customWidth="1"/>
    <col min="7" max="7" width="25.7109375" customWidth="1"/>
    <col min="9" max="9" width="24.7109375" customWidth="1"/>
  </cols>
  <sheetData>
    <row r="1" spans="1:10" ht="15" x14ac:dyDescent="0.25">
      <c r="A1" s="1" t="s">
        <v>0</v>
      </c>
      <c r="B1" s="1" t="s">
        <v>1</v>
      </c>
      <c r="C1" s="1" t="s">
        <v>2</v>
      </c>
      <c r="D1" s="2" t="s">
        <v>3</v>
      </c>
      <c r="E1" s="3" t="s">
        <v>4</v>
      </c>
      <c r="F1" s="3" t="s">
        <v>5</v>
      </c>
      <c r="G1" s="4" t="s">
        <v>6</v>
      </c>
      <c r="H1" s="4" t="s">
        <v>7</v>
      </c>
      <c r="I1" s="5" t="s">
        <v>76</v>
      </c>
      <c r="J1" s="6"/>
    </row>
    <row r="2" spans="1:10" ht="15" x14ac:dyDescent="0.25">
      <c r="A2" s="4" t="s">
        <v>8</v>
      </c>
      <c r="B2" s="7">
        <v>0.82</v>
      </c>
      <c r="C2" s="7">
        <v>0.82</v>
      </c>
      <c r="D2" s="7">
        <v>8.49</v>
      </c>
      <c r="E2" s="8">
        <v>8.5499999999999989</v>
      </c>
      <c r="F2" s="9">
        <v>80559.999999999985</v>
      </c>
      <c r="G2" s="10">
        <v>0.36</v>
      </c>
      <c r="H2" s="8">
        <v>1</v>
      </c>
      <c r="I2" s="8">
        <v>2061.1750000000002</v>
      </c>
      <c r="J2" s="6"/>
    </row>
    <row r="3" spans="1:10" ht="15" x14ac:dyDescent="0.25">
      <c r="A3" s="4" t="s">
        <v>9</v>
      </c>
      <c r="B3" s="7">
        <v>0.36</v>
      </c>
      <c r="C3" s="7">
        <v>0.36</v>
      </c>
      <c r="D3" s="7">
        <v>6.07</v>
      </c>
      <c r="E3" s="8">
        <v>2.2894999999999999</v>
      </c>
      <c r="F3" s="9">
        <v>36004.999999999993</v>
      </c>
      <c r="G3" s="10">
        <v>0.56999999999999995</v>
      </c>
      <c r="H3" s="8">
        <v>1</v>
      </c>
      <c r="I3" s="8">
        <v>26250.15</v>
      </c>
      <c r="J3" s="6"/>
    </row>
    <row r="4" spans="1:10" ht="15" x14ac:dyDescent="0.25">
      <c r="A4" s="4" t="s">
        <v>10</v>
      </c>
      <c r="B4" s="7">
        <v>0.65</v>
      </c>
      <c r="C4" s="7">
        <v>0.65</v>
      </c>
      <c r="D4" s="7">
        <v>9.7200000000000006</v>
      </c>
      <c r="E4" s="8">
        <v>6.593</v>
      </c>
      <c r="F4" s="8">
        <v>23750</v>
      </c>
      <c r="G4" s="10">
        <v>0.52</v>
      </c>
      <c r="H4" s="8">
        <v>1</v>
      </c>
      <c r="I4" s="8">
        <v>1148.6500000000001</v>
      </c>
      <c r="J4" s="6"/>
    </row>
    <row r="5" spans="1:10" ht="15" x14ac:dyDescent="0.25">
      <c r="A5" s="4" t="s">
        <v>11</v>
      </c>
      <c r="B5" s="11">
        <v>0.7</v>
      </c>
      <c r="C5" s="11">
        <v>0.7</v>
      </c>
      <c r="D5" s="12">
        <v>10.5</v>
      </c>
      <c r="E5" s="8">
        <v>6.593</v>
      </c>
      <c r="F5" s="8">
        <v>23750</v>
      </c>
      <c r="G5" s="10">
        <v>0.52</v>
      </c>
      <c r="H5" s="8">
        <v>1</v>
      </c>
      <c r="I5" s="8">
        <v>482.64</v>
      </c>
      <c r="J5" s="6"/>
    </row>
    <row r="6" spans="1:10" ht="15" x14ac:dyDescent="0.25">
      <c r="A6" s="4" t="s">
        <v>12</v>
      </c>
      <c r="B6" s="7">
        <v>0.49</v>
      </c>
      <c r="C6" s="7">
        <v>0.49</v>
      </c>
      <c r="D6" s="7">
        <v>6.07</v>
      </c>
      <c r="E6" s="8">
        <v>1.8315999999999999</v>
      </c>
      <c r="F6" s="8">
        <v>36004.999999999993</v>
      </c>
      <c r="G6" s="10">
        <v>0.56999999999999995</v>
      </c>
      <c r="H6" s="8">
        <v>1</v>
      </c>
      <c r="I6" s="8">
        <v>5597.0420000000004</v>
      </c>
      <c r="J6" s="6"/>
    </row>
    <row r="7" spans="1:10" ht="15" x14ac:dyDescent="0.25">
      <c r="A7" s="4" t="s">
        <v>13</v>
      </c>
      <c r="B7" s="7">
        <v>0.82</v>
      </c>
      <c r="C7" s="7">
        <v>0.82</v>
      </c>
      <c r="D7" s="12">
        <v>10</v>
      </c>
      <c r="E7" s="8">
        <v>4.75</v>
      </c>
      <c r="F7" s="8">
        <v>33250</v>
      </c>
      <c r="G7" s="10">
        <v>0.3</v>
      </c>
      <c r="H7" s="8">
        <v>1</v>
      </c>
      <c r="I7" s="8">
        <v>768.67</v>
      </c>
      <c r="J7" s="6"/>
    </row>
    <row r="8" spans="1:10" ht="15" x14ac:dyDescent="0.25">
      <c r="A8" s="4" t="s">
        <v>14</v>
      </c>
      <c r="B8" s="7">
        <v>0.23</v>
      </c>
      <c r="C8" s="7">
        <v>0.23</v>
      </c>
      <c r="D8" s="11">
        <v>0.3</v>
      </c>
      <c r="E8" s="8">
        <v>11.077</v>
      </c>
      <c r="F8" s="8">
        <v>155799.99999999997</v>
      </c>
      <c r="G8" s="10">
        <v>0</v>
      </c>
      <c r="H8" s="8">
        <v>1</v>
      </c>
      <c r="I8" s="8">
        <v>425.66300000000001</v>
      </c>
      <c r="J8" s="6"/>
    </row>
    <row r="9" spans="1:10" ht="15" x14ac:dyDescent="0.25">
      <c r="A9" s="4" t="s">
        <v>15</v>
      </c>
      <c r="B9" s="7">
        <v>1.2E-2</v>
      </c>
      <c r="C9" s="7">
        <v>0</v>
      </c>
      <c r="D9" s="13">
        <v>9.18</v>
      </c>
      <c r="E9" s="27">
        <v>2.66</v>
      </c>
      <c r="F9" s="8">
        <v>193799.99999999997</v>
      </c>
      <c r="G9" s="10">
        <v>1</v>
      </c>
      <c r="H9" s="8">
        <v>0</v>
      </c>
      <c r="I9" s="8">
        <v>7117.29</v>
      </c>
      <c r="J9" s="6"/>
    </row>
    <row r="10" spans="1:10" ht="15" x14ac:dyDescent="0.25">
      <c r="A10" s="4" t="s">
        <v>16</v>
      </c>
      <c r="B10" s="7">
        <v>2.4E-2</v>
      </c>
      <c r="C10" s="7">
        <v>0</v>
      </c>
      <c r="D10" s="13">
        <v>0</v>
      </c>
      <c r="E10" s="8">
        <v>0</v>
      </c>
      <c r="F10" s="8">
        <v>87399.999999999985</v>
      </c>
      <c r="G10" s="10">
        <v>0</v>
      </c>
      <c r="H10" s="8">
        <v>0</v>
      </c>
      <c r="I10" s="8">
        <v>15942.07</v>
      </c>
      <c r="J10" s="6"/>
    </row>
    <row r="11" spans="1:10" ht="15" x14ac:dyDescent="0.25">
      <c r="A11" s="8" t="s">
        <v>17</v>
      </c>
      <c r="B11" s="14">
        <v>2.4E-2</v>
      </c>
      <c r="C11" s="14">
        <v>0</v>
      </c>
      <c r="D11" s="15">
        <v>0</v>
      </c>
      <c r="E11" s="16">
        <v>0</v>
      </c>
      <c r="F11" s="17">
        <v>88000</v>
      </c>
      <c r="G11" s="18">
        <v>0</v>
      </c>
      <c r="H11" s="16">
        <v>0</v>
      </c>
      <c r="I11" s="8">
        <v>1155</v>
      </c>
      <c r="J11" s="6"/>
    </row>
    <row r="12" spans="1:10" ht="15" x14ac:dyDescent="0.25">
      <c r="A12" s="19" t="s">
        <v>18</v>
      </c>
      <c r="B12" s="7">
        <v>2.4E-2</v>
      </c>
      <c r="C12" s="7">
        <v>0</v>
      </c>
      <c r="D12" s="20">
        <v>0</v>
      </c>
      <c r="E12" s="8">
        <v>0.55099999999999993</v>
      </c>
      <c r="F12" s="21">
        <v>19142.5</v>
      </c>
      <c r="G12" s="10">
        <v>0</v>
      </c>
      <c r="H12" s="8">
        <v>0</v>
      </c>
      <c r="I12" s="8">
        <v>3331.4</v>
      </c>
      <c r="J12" s="6"/>
    </row>
    <row r="13" spans="1:10" ht="15" x14ac:dyDescent="0.25">
      <c r="A13" s="4" t="s">
        <v>19</v>
      </c>
      <c r="B13" s="7">
        <v>4.8000000000000001E-2</v>
      </c>
      <c r="C13" s="7">
        <v>0</v>
      </c>
      <c r="D13" s="13">
        <v>0</v>
      </c>
      <c r="E13" s="8">
        <v>0</v>
      </c>
      <c r="F13" s="8">
        <v>18734</v>
      </c>
      <c r="G13" s="10">
        <v>0</v>
      </c>
      <c r="H13" s="8">
        <v>0</v>
      </c>
      <c r="I13" s="8">
        <v>29633.5</v>
      </c>
      <c r="J13" s="6"/>
    </row>
    <row r="14" spans="1:10" ht="15" x14ac:dyDescent="0.25">
      <c r="A14" s="4" t="s">
        <v>20</v>
      </c>
      <c r="B14" s="7">
        <v>2.7E-2</v>
      </c>
      <c r="C14" s="7">
        <v>0</v>
      </c>
      <c r="D14" s="13">
        <v>0</v>
      </c>
      <c r="E14" s="8">
        <v>2.7645</v>
      </c>
      <c r="F14" s="8">
        <v>70869.999999999985</v>
      </c>
      <c r="G14" s="10">
        <v>0</v>
      </c>
      <c r="H14" s="8">
        <v>0</v>
      </c>
      <c r="I14" s="8">
        <v>2302.223</v>
      </c>
      <c r="J14" s="6"/>
    </row>
    <row r="15" spans="1:10" ht="15" x14ac:dyDescent="0.25">
      <c r="A15" s="4" t="s">
        <v>21</v>
      </c>
      <c r="B15" s="7">
        <v>1.15E-2</v>
      </c>
      <c r="C15" s="7">
        <v>0</v>
      </c>
      <c r="D15" s="13">
        <v>0</v>
      </c>
      <c r="E15" s="8">
        <v>0</v>
      </c>
      <c r="F15" s="21">
        <v>29364.5</v>
      </c>
      <c r="G15" s="10">
        <v>0</v>
      </c>
      <c r="H15" s="8">
        <v>0</v>
      </c>
      <c r="I15" s="8">
        <v>31522.39</v>
      </c>
      <c r="J15" s="6"/>
    </row>
    <row r="16" spans="1:10" ht="15" x14ac:dyDescent="0.25">
      <c r="A16" s="4" t="s">
        <v>22</v>
      </c>
      <c r="B16" s="7">
        <v>3.7999999999999999E-2</v>
      </c>
      <c r="C16" s="7">
        <v>0</v>
      </c>
      <c r="D16" s="7">
        <v>0</v>
      </c>
      <c r="E16" s="8">
        <v>4.75</v>
      </c>
      <c r="F16" s="8">
        <v>155799.99999999997</v>
      </c>
      <c r="G16" s="10">
        <v>0</v>
      </c>
      <c r="H16" s="8">
        <v>0</v>
      </c>
      <c r="I16" s="8">
        <v>1110.2840000000001</v>
      </c>
      <c r="J16" s="6"/>
    </row>
    <row r="17" spans="1:9" ht="15.75" customHeight="1" x14ac:dyDescent="0.2">
      <c r="A17" s="4" t="s">
        <v>23</v>
      </c>
      <c r="B17" s="7">
        <v>3.7999999999999999E-2</v>
      </c>
      <c r="C17" s="7">
        <v>0</v>
      </c>
      <c r="D17" s="7">
        <v>0</v>
      </c>
      <c r="E17" s="8">
        <v>4.75</v>
      </c>
      <c r="F17" s="8">
        <v>155799.99999999997</v>
      </c>
      <c r="G17" s="10">
        <v>0</v>
      </c>
      <c r="H17" s="8">
        <v>0</v>
      </c>
      <c r="I17" s="8">
        <v>170.11199999999999</v>
      </c>
    </row>
    <row r="18" spans="1:9" ht="15.75" customHeight="1" x14ac:dyDescent="0.25">
      <c r="A18" s="4" t="s">
        <v>24</v>
      </c>
      <c r="B18" s="7">
        <v>0</v>
      </c>
      <c r="C18" s="7">
        <v>0</v>
      </c>
      <c r="D18" s="13">
        <v>0</v>
      </c>
      <c r="E18" s="8">
        <v>0</v>
      </c>
      <c r="F18" s="21">
        <v>38294.5</v>
      </c>
      <c r="G18" s="10">
        <v>0</v>
      </c>
      <c r="H18" s="8">
        <v>0</v>
      </c>
      <c r="I18" s="8">
        <v>1</v>
      </c>
    </row>
    <row r="19" spans="1:9" ht="15.75" customHeight="1" x14ac:dyDescent="0.25">
      <c r="B19" s="7"/>
      <c r="C19" s="7"/>
      <c r="D19" s="13"/>
      <c r="F19" s="21"/>
      <c r="G1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3"/>
  <sheetViews>
    <sheetView workbookViewId="0"/>
  </sheetViews>
  <sheetFormatPr baseColWidth="10" defaultColWidth="12.7109375" defaultRowHeight="15.75" customHeight="1" x14ac:dyDescent="0.2"/>
  <cols>
    <col min="2" max="2" width="18.42578125" customWidth="1"/>
    <col min="3" max="3" width="16.42578125" customWidth="1"/>
    <col min="5" max="5" width="15.7109375" customWidth="1"/>
    <col min="6" max="6" width="16.85546875" customWidth="1"/>
  </cols>
  <sheetData>
    <row r="1" spans="1:9" ht="15.75" customHeight="1" x14ac:dyDescent="0.25">
      <c r="A1" s="1" t="s">
        <v>0</v>
      </c>
      <c r="B1" s="1" t="s">
        <v>1</v>
      </c>
      <c r="C1" s="1" t="s">
        <v>2</v>
      </c>
      <c r="D1" s="2" t="s">
        <v>3</v>
      </c>
      <c r="E1" s="3" t="s">
        <v>4</v>
      </c>
      <c r="F1" s="3" t="s">
        <v>5</v>
      </c>
      <c r="G1" s="4" t="s">
        <v>6</v>
      </c>
      <c r="H1" s="4" t="s">
        <v>7</v>
      </c>
      <c r="I1" s="4" t="s">
        <v>25</v>
      </c>
    </row>
    <row r="2" spans="1:9" ht="15" x14ac:dyDescent="0.25">
      <c r="A2" s="4" t="s">
        <v>8</v>
      </c>
      <c r="B2" s="7">
        <v>0.82</v>
      </c>
      <c r="C2" s="7">
        <v>0.82</v>
      </c>
      <c r="D2" s="7">
        <v>8.49</v>
      </c>
      <c r="E2" s="8">
        <v>8.5499999999999989</v>
      </c>
      <c r="F2" s="9">
        <v>80559.999999999985</v>
      </c>
      <c r="G2" s="10">
        <v>0.36</v>
      </c>
      <c r="H2" s="8">
        <v>1</v>
      </c>
      <c r="I2" s="6">
        <v>2061.1750000000002</v>
      </c>
    </row>
    <row r="3" spans="1:9" ht="15" x14ac:dyDescent="0.25">
      <c r="A3" s="4" t="s">
        <v>9</v>
      </c>
      <c r="B3" s="7">
        <v>0.49</v>
      </c>
      <c r="C3" s="7">
        <v>0.49</v>
      </c>
      <c r="D3" s="7">
        <v>6.07</v>
      </c>
      <c r="E3" s="8">
        <v>2.2894999999999999</v>
      </c>
      <c r="F3" s="9">
        <v>36004.999999999993</v>
      </c>
      <c r="G3" s="10">
        <v>0.56999999999999995</v>
      </c>
      <c r="H3" s="8">
        <v>1</v>
      </c>
      <c r="I3" s="6">
        <v>26250.145</v>
      </c>
    </row>
    <row r="4" spans="1:9" ht="15" x14ac:dyDescent="0.25">
      <c r="A4" s="4" t="s">
        <v>10</v>
      </c>
      <c r="B4" s="7">
        <v>0.65</v>
      </c>
      <c r="C4" s="7">
        <v>0.65</v>
      </c>
      <c r="D4" s="7">
        <v>9.7200000000000006</v>
      </c>
      <c r="E4" s="8">
        <v>6.593</v>
      </c>
      <c r="F4" s="8">
        <v>23750</v>
      </c>
      <c r="G4" s="10">
        <v>0.52</v>
      </c>
      <c r="H4" s="8">
        <v>1</v>
      </c>
      <c r="I4" s="6">
        <v>1148.6500000000001</v>
      </c>
    </row>
    <row r="5" spans="1:9" ht="15" x14ac:dyDescent="0.25">
      <c r="A5" s="4" t="s">
        <v>11</v>
      </c>
      <c r="B5" s="11">
        <v>0.7</v>
      </c>
      <c r="C5" s="11">
        <v>0.7</v>
      </c>
      <c r="D5" s="12">
        <v>10.5</v>
      </c>
      <c r="E5" s="8">
        <v>6.593</v>
      </c>
      <c r="F5" s="8">
        <v>23750</v>
      </c>
      <c r="G5" s="10">
        <v>0.52</v>
      </c>
      <c r="H5" s="8">
        <v>1</v>
      </c>
      <c r="I5" s="6">
        <v>482.64</v>
      </c>
    </row>
    <row r="6" spans="1:9" ht="15" x14ac:dyDescent="0.25">
      <c r="A6" s="4" t="s">
        <v>12</v>
      </c>
      <c r="B6" s="7">
        <v>0.49</v>
      </c>
      <c r="C6" s="7">
        <v>0.49</v>
      </c>
      <c r="D6" s="7">
        <v>6.07</v>
      </c>
      <c r="E6" s="8">
        <v>1.8315999999999999</v>
      </c>
      <c r="F6" s="8">
        <v>36004.999999999993</v>
      </c>
      <c r="G6" s="10">
        <v>0.56999999999999995</v>
      </c>
      <c r="H6" s="8">
        <v>1</v>
      </c>
      <c r="I6" s="6">
        <v>5559.4040000000005</v>
      </c>
    </row>
    <row r="7" spans="1:9" ht="15" x14ac:dyDescent="0.25">
      <c r="A7" s="4" t="s">
        <v>26</v>
      </c>
      <c r="B7" s="7">
        <v>0.82</v>
      </c>
      <c r="C7" s="7">
        <v>0.82</v>
      </c>
      <c r="D7" s="12">
        <v>10</v>
      </c>
      <c r="E7" s="8">
        <v>4.75</v>
      </c>
      <c r="F7" s="8">
        <v>33250</v>
      </c>
      <c r="G7" s="10">
        <v>0.3</v>
      </c>
      <c r="H7" s="8">
        <v>1</v>
      </c>
      <c r="I7" s="6">
        <v>768.67</v>
      </c>
    </row>
    <row r="8" spans="1:9" ht="15" x14ac:dyDescent="0.25">
      <c r="A8" s="4" t="s">
        <v>27</v>
      </c>
      <c r="B8" s="7">
        <v>0.23</v>
      </c>
      <c r="C8" s="7">
        <v>0.23</v>
      </c>
      <c r="D8" s="11">
        <v>0.3</v>
      </c>
      <c r="E8" s="8">
        <v>11.077</v>
      </c>
      <c r="F8" s="8">
        <v>155799.99999999997</v>
      </c>
      <c r="G8" s="10">
        <v>0</v>
      </c>
      <c r="H8" s="8">
        <v>1</v>
      </c>
      <c r="I8" s="6">
        <v>425.66300000000001</v>
      </c>
    </row>
    <row r="9" spans="1:9" ht="15" x14ac:dyDescent="0.25">
      <c r="A9" s="4" t="s">
        <v>15</v>
      </c>
      <c r="B9" s="7">
        <v>1.2E-2</v>
      </c>
      <c r="C9" s="7">
        <v>0</v>
      </c>
      <c r="D9" s="13">
        <v>9.18</v>
      </c>
      <c r="E9" s="8">
        <v>2.6599999999999997</v>
      </c>
      <c r="F9" s="8">
        <v>193799.99999999997</v>
      </c>
      <c r="G9" s="10">
        <v>1</v>
      </c>
      <c r="H9" s="8">
        <v>0</v>
      </c>
      <c r="I9" s="6">
        <v>7117.29</v>
      </c>
    </row>
    <row r="10" spans="1:9" ht="15" x14ac:dyDescent="0.25">
      <c r="A10" s="4" t="s">
        <v>28</v>
      </c>
      <c r="B10" s="7">
        <v>2.4E-2</v>
      </c>
      <c r="C10" s="7">
        <v>0</v>
      </c>
      <c r="D10" s="13">
        <v>0</v>
      </c>
      <c r="E10" s="8">
        <v>0</v>
      </c>
      <c r="F10" s="8">
        <v>87399.999999999985</v>
      </c>
      <c r="G10" s="10">
        <v>0</v>
      </c>
      <c r="H10" s="8">
        <v>0</v>
      </c>
      <c r="I10" s="6">
        <v>17097.064999999999</v>
      </c>
    </row>
    <row r="11" spans="1:9" ht="15" x14ac:dyDescent="0.25">
      <c r="A11" s="19" t="s">
        <v>18</v>
      </c>
      <c r="B11" s="7">
        <v>2.4E-2</v>
      </c>
      <c r="C11" s="7">
        <v>0</v>
      </c>
      <c r="D11" s="20">
        <v>0</v>
      </c>
      <c r="E11" s="8">
        <v>0.55099999999999993</v>
      </c>
      <c r="F11" s="21">
        <v>19142.5</v>
      </c>
      <c r="G11" s="10">
        <v>0</v>
      </c>
      <c r="H11" s="8">
        <v>0</v>
      </c>
      <c r="I11" s="6">
        <v>3331.4</v>
      </c>
    </row>
    <row r="12" spans="1:9" ht="15" x14ac:dyDescent="0.25">
      <c r="A12" s="4" t="s">
        <v>19</v>
      </c>
      <c r="B12" s="7">
        <v>4.8000000000000001E-2</v>
      </c>
      <c r="C12" s="7">
        <v>0</v>
      </c>
      <c r="D12" s="13">
        <v>0</v>
      </c>
      <c r="E12" s="8">
        <v>0</v>
      </c>
      <c r="F12" s="8">
        <v>18734</v>
      </c>
      <c r="G12" s="10">
        <v>0</v>
      </c>
      <c r="H12" s="8">
        <v>0</v>
      </c>
      <c r="I12" s="6">
        <v>32710.374</v>
      </c>
    </row>
    <row r="13" spans="1:9" ht="15" x14ac:dyDescent="0.25">
      <c r="A13" s="4" t="s">
        <v>20</v>
      </c>
      <c r="B13" s="7">
        <v>2.7E-2</v>
      </c>
      <c r="C13" s="7">
        <v>0</v>
      </c>
      <c r="D13" s="13">
        <v>0</v>
      </c>
      <c r="E13" s="8">
        <v>2.7645</v>
      </c>
      <c r="F13" s="8">
        <v>70869.999999999985</v>
      </c>
      <c r="G13" s="10">
        <v>0</v>
      </c>
      <c r="H13" s="8">
        <v>0</v>
      </c>
      <c r="I13" s="6">
        <v>2302.223</v>
      </c>
    </row>
    <row r="14" spans="1:9" ht="15" x14ac:dyDescent="0.25">
      <c r="A14" s="4" t="s">
        <v>29</v>
      </c>
      <c r="B14" s="7">
        <v>1.15E-2</v>
      </c>
      <c r="C14" s="7">
        <v>0</v>
      </c>
      <c r="D14" s="13">
        <v>0</v>
      </c>
      <c r="E14" s="8">
        <v>0</v>
      </c>
      <c r="F14" s="21">
        <v>29364.5</v>
      </c>
      <c r="G14" s="10">
        <v>0</v>
      </c>
      <c r="H14" s="8">
        <v>0</v>
      </c>
      <c r="I14" s="6">
        <v>32182.618999999999</v>
      </c>
    </row>
    <row r="15" spans="1:9" ht="15" x14ac:dyDescent="0.25">
      <c r="A15" s="4" t="s">
        <v>30</v>
      </c>
      <c r="B15" s="7">
        <v>3.7999999999999999E-2</v>
      </c>
      <c r="C15" s="7">
        <v>0</v>
      </c>
      <c r="D15" s="7">
        <v>0</v>
      </c>
      <c r="E15" s="8">
        <v>4.75</v>
      </c>
      <c r="F15" s="8">
        <v>155799.99999999997</v>
      </c>
      <c r="G15" s="10">
        <v>0</v>
      </c>
      <c r="H15" s="8">
        <v>0</v>
      </c>
      <c r="I15" s="6">
        <v>1110.3520000000001</v>
      </c>
    </row>
    <row r="16" spans="1:9" ht="15" x14ac:dyDescent="0.25">
      <c r="A16" s="4" t="s">
        <v>23</v>
      </c>
      <c r="B16" s="7">
        <v>3.7999999999999999E-2</v>
      </c>
      <c r="C16" s="7">
        <v>0</v>
      </c>
      <c r="D16" s="7">
        <v>0</v>
      </c>
      <c r="E16" s="8">
        <v>4.75</v>
      </c>
      <c r="F16" s="8">
        <v>155799.99999999997</v>
      </c>
      <c r="G16" s="10">
        <v>0</v>
      </c>
      <c r="H16" s="8">
        <v>0</v>
      </c>
      <c r="I16" s="6">
        <v>170.11199999999999</v>
      </c>
    </row>
    <row r="17" spans="1:9" ht="15.75" customHeight="1" x14ac:dyDescent="0.25">
      <c r="A17" s="4" t="s">
        <v>24</v>
      </c>
      <c r="B17" s="7">
        <v>0</v>
      </c>
      <c r="C17" s="7">
        <v>0</v>
      </c>
      <c r="D17" s="13">
        <v>0</v>
      </c>
      <c r="E17" s="8">
        <v>0</v>
      </c>
      <c r="F17" s="21">
        <v>38294.5</v>
      </c>
      <c r="G17" s="10">
        <v>0</v>
      </c>
      <c r="H17" s="8">
        <v>0</v>
      </c>
      <c r="I17" s="8">
        <v>100</v>
      </c>
    </row>
    <row r="18" spans="1:9" ht="15.75" customHeight="1" x14ac:dyDescent="0.2">
      <c r="A18" s="4" t="s">
        <v>31</v>
      </c>
      <c r="B18" s="22">
        <f t="shared" ref="B18:E18" si="0">0.67*B9+0.15*B10+0.09*B14+0.04*B12+0.05*B3</f>
        <v>3.9095000000000005E-2</v>
      </c>
      <c r="C18" s="22">
        <f t="shared" si="0"/>
        <v>2.4500000000000001E-2</v>
      </c>
      <c r="D18" s="22">
        <f t="shared" si="0"/>
        <v>6.4540999999999995</v>
      </c>
      <c r="E18" s="22">
        <f t="shared" si="0"/>
        <v>1.8966750000000001</v>
      </c>
      <c r="F18" s="23">
        <v>148148.41500000001</v>
      </c>
      <c r="G18" s="10">
        <v>0</v>
      </c>
      <c r="H18" s="8">
        <v>0</v>
      </c>
      <c r="I18" s="8">
        <v>4000</v>
      </c>
    </row>
    <row r="19" spans="1:9" ht="15.75" customHeight="1" x14ac:dyDescent="0.2">
      <c r="A19" s="4" t="s">
        <v>32</v>
      </c>
      <c r="B19" s="11">
        <f t="shared" ref="B19:E19" si="1">0.3*B14+0.47*B10+0.09*B3+0.08*B12+0.4*B15</f>
        <v>7.7870000000000009E-2</v>
      </c>
      <c r="C19" s="11">
        <f t="shared" si="1"/>
        <v>4.41E-2</v>
      </c>
      <c r="D19" s="11">
        <f t="shared" si="1"/>
        <v>0.54630000000000001</v>
      </c>
      <c r="E19" s="11">
        <f t="shared" si="1"/>
        <v>2.106055</v>
      </c>
      <c r="F19" s="24">
        <v>116946.51999999999</v>
      </c>
      <c r="G19" s="10">
        <v>0</v>
      </c>
      <c r="H19" s="8">
        <v>0</v>
      </c>
      <c r="I19" s="8">
        <v>4000</v>
      </c>
    </row>
    <row r="20" spans="1:9" ht="15.75" customHeight="1" x14ac:dyDescent="0.2">
      <c r="A20" s="4" t="s">
        <v>33</v>
      </c>
      <c r="B20" s="11">
        <f t="shared" ref="B20:E20" si="2">0.55*B2+0.2*B3+0.2*B14+0.035*B12</f>
        <v>0.55298000000000003</v>
      </c>
      <c r="C20" s="11">
        <f t="shared" si="2"/>
        <v>0.54900000000000004</v>
      </c>
      <c r="D20" s="11">
        <f t="shared" si="2"/>
        <v>5.8835000000000006</v>
      </c>
      <c r="E20" s="11">
        <f t="shared" si="2"/>
        <v>5.1603999999999992</v>
      </c>
      <c r="F20" s="24">
        <v>58037.590000000004</v>
      </c>
      <c r="G20" s="10">
        <v>0</v>
      </c>
      <c r="H20" s="8">
        <v>0</v>
      </c>
      <c r="I20" s="8">
        <v>1000</v>
      </c>
    </row>
    <row r="26" spans="1:9" ht="12.75" x14ac:dyDescent="0.2">
      <c r="B26" s="4" t="s">
        <v>8</v>
      </c>
      <c r="C26" s="4" t="s">
        <v>9</v>
      </c>
      <c r="D26" s="4" t="s">
        <v>34</v>
      </c>
    </row>
    <row r="27" spans="1:9" ht="12.75" x14ac:dyDescent="0.2">
      <c r="A27" s="4" t="s">
        <v>35</v>
      </c>
      <c r="B27" s="10">
        <v>0.36</v>
      </c>
      <c r="C27" s="10">
        <v>0.56999999999999995</v>
      </c>
      <c r="D27" s="10">
        <v>0.52</v>
      </c>
    </row>
    <row r="28" spans="1:9" ht="12.75" x14ac:dyDescent="0.2">
      <c r="A28" s="8" t="s">
        <v>36</v>
      </c>
    </row>
    <row r="29" spans="1:9" ht="12.75" x14ac:dyDescent="0.2">
      <c r="A29" s="8" t="s">
        <v>37</v>
      </c>
      <c r="B29" s="8">
        <v>0.35</v>
      </c>
    </row>
    <row r="30" spans="1:9" ht="12.75" x14ac:dyDescent="0.2">
      <c r="A30" s="8" t="s">
        <v>38</v>
      </c>
      <c r="B30" s="8">
        <v>0.4</v>
      </c>
    </row>
    <row r="31" spans="1:9" ht="12.75" x14ac:dyDescent="0.2">
      <c r="A31" s="8" t="s">
        <v>39</v>
      </c>
      <c r="B31" s="8">
        <v>0.46</v>
      </c>
    </row>
    <row r="32" spans="1:9" ht="12.75" x14ac:dyDescent="0.2">
      <c r="A32" s="8" t="s">
        <v>40</v>
      </c>
      <c r="C32" s="8">
        <v>0.36</v>
      </c>
    </row>
    <row r="33" spans="1:4" ht="12.75" x14ac:dyDescent="0.2">
      <c r="A33" s="8" t="s">
        <v>41</v>
      </c>
      <c r="C33" s="8">
        <v>0.41</v>
      </c>
    </row>
    <row r="34" spans="1:4" ht="12.75" x14ac:dyDescent="0.2">
      <c r="A34" s="8" t="s">
        <v>42</v>
      </c>
      <c r="C34" s="8">
        <v>0.4</v>
      </c>
    </row>
    <row r="35" spans="1:4" ht="12.75" x14ac:dyDescent="0.2">
      <c r="A35" s="8" t="s">
        <v>43</v>
      </c>
      <c r="C35" s="8">
        <v>0.48</v>
      </c>
    </row>
    <row r="36" spans="1:4" ht="12.75" x14ac:dyDescent="0.2">
      <c r="A36" s="8" t="s">
        <v>44</v>
      </c>
      <c r="C36" s="8">
        <v>0.56000000000000005</v>
      </c>
    </row>
    <row r="37" spans="1:4" ht="12.75" x14ac:dyDescent="0.2">
      <c r="A37" s="8" t="s">
        <v>45</v>
      </c>
      <c r="C37" s="8">
        <v>0.57999999999999996</v>
      </c>
    </row>
    <row r="38" spans="1:4" ht="12.75" x14ac:dyDescent="0.2">
      <c r="A38" s="8" t="s">
        <v>46</v>
      </c>
      <c r="C38" s="8">
        <v>0.6</v>
      </c>
    </row>
    <row r="39" spans="1:4" ht="12.75" x14ac:dyDescent="0.2">
      <c r="A39" s="8" t="s">
        <v>47</v>
      </c>
      <c r="D39" s="8">
        <v>0.35</v>
      </c>
    </row>
    <row r="40" spans="1:4" ht="12.75" x14ac:dyDescent="0.2">
      <c r="A40" s="8" t="s">
        <v>48</v>
      </c>
      <c r="D40" s="8">
        <v>0.42</v>
      </c>
    </row>
    <row r="41" spans="1:4" ht="12.75" x14ac:dyDescent="0.2">
      <c r="A41" s="8" t="s">
        <v>49</v>
      </c>
      <c r="B41" s="8">
        <v>0.35</v>
      </c>
    </row>
    <row r="42" spans="1:4" ht="12.75" x14ac:dyDescent="0.2">
      <c r="A42" s="8" t="s">
        <v>50</v>
      </c>
      <c r="B42" s="8">
        <v>0.35</v>
      </c>
    </row>
    <row r="43" spans="1:4" ht="12.75" x14ac:dyDescent="0.2">
      <c r="A43" s="8" t="s">
        <v>51</v>
      </c>
      <c r="B43" s="8">
        <v>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8"/>
  <sheetViews>
    <sheetView workbookViewId="0"/>
  </sheetViews>
  <sheetFormatPr baseColWidth="10" defaultColWidth="12.7109375" defaultRowHeight="15.75" customHeight="1" x14ac:dyDescent="0.2"/>
  <sheetData>
    <row r="1" spans="1:2" ht="15.75" customHeight="1" x14ac:dyDescent="0.2">
      <c r="A1" s="8" t="s">
        <v>52</v>
      </c>
      <c r="B1" s="8" t="s">
        <v>53</v>
      </c>
    </row>
    <row r="2" spans="1:2" ht="15.75" customHeight="1" x14ac:dyDescent="0.2">
      <c r="A2" s="8" t="s">
        <v>54</v>
      </c>
    </row>
    <row r="3" spans="1:2" ht="15.75" customHeight="1" x14ac:dyDescent="0.2">
      <c r="A3" s="8" t="s">
        <v>55</v>
      </c>
    </row>
    <row r="4" spans="1:2" ht="15.75" customHeight="1" x14ac:dyDescent="0.2">
      <c r="A4" s="8" t="s">
        <v>56</v>
      </c>
    </row>
    <row r="5" spans="1:2" ht="15.75" customHeight="1" x14ac:dyDescent="0.2">
      <c r="A5" s="8" t="s">
        <v>57</v>
      </c>
    </row>
    <row r="6" spans="1:2" ht="15.75" customHeight="1" x14ac:dyDescent="0.2">
      <c r="A6" s="25" t="s">
        <v>58</v>
      </c>
    </row>
    <row r="7" spans="1:2" ht="15.75" customHeight="1" x14ac:dyDescent="0.2">
      <c r="A7" s="25" t="s">
        <v>59</v>
      </c>
    </row>
    <row r="8" spans="1:2" ht="15.75" customHeight="1" x14ac:dyDescent="0.2">
      <c r="A8" s="8" t="s">
        <v>60</v>
      </c>
    </row>
  </sheetData>
  <hyperlinks>
    <hyperlink ref="A6" r:id="rId1" xr:uid="{00000000-0004-0000-0200-000000000000}"/>
    <hyperlink ref="A7"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30"/>
  <sheetViews>
    <sheetView workbookViewId="0"/>
  </sheetViews>
  <sheetFormatPr baseColWidth="10" defaultColWidth="12.7109375" defaultRowHeight="15.75" customHeight="1" x14ac:dyDescent="0.2"/>
  <cols>
    <col min="1" max="1" width="15.85546875" customWidth="1"/>
    <col min="2" max="2" width="20.42578125" customWidth="1"/>
    <col min="3" max="3" width="21" customWidth="1"/>
    <col min="4" max="6" width="14" customWidth="1"/>
    <col min="7" max="7" width="26.140625" customWidth="1"/>
  </cols>
  <sheetData>
    <row r="1" spans="1:21" ht="15.75" customHeight="1" x14ac:dyDescent="0.25">
      <c r="A1" s="1" t="s">
        <v>0</v>
      </c>
      <c r="B1" s="1" t="s">
        <v>1</v>
      </c>
      <c r="C1" s="1" t="s">
        <v>2</v>
      </c>
      <c r="D1" s="2" t="s">
        <v>3</v>
      </c>
      <c r="E1" s="3" t="s">
        <v>61</v>
      </c>
      <c r="F1" s="3" t="s">
        <v>62</v>
      </c>
      <c r="G1" s="4" t="s">
        <v>63</v>
      </c>
      <c r="H1" s="8" t="s">
        <v>64</v>
      </c>
      <c r="I1" s="8" t="s">
        <v>64</v>
      </c>
      <c r="J1" s="8" t="s">
        <v>65</v>
      </c>
      <c r="K1" s="8" t="s">
        <v>65</v>
      </c>
      <c r="P1" s="8" t="s">
        <v>66</v>
      </c>
      <c r="Q1" s="8" t="s">
        <v>67</v>
      </c>
      <c r="R1" s="8" t="s">
        <v>68</v>
      </c>
      <c r="S1" s="8" t="s">
        <v>69</v>
      </c>
      <c r="T1" s="8" t="s">
        <v>70</v>
      </c>
      <c r="U1" s="8" t="s">
        <v>71</v>
      </c>
    </row>
    <row r="2" spans="1:21" ht="15.75" customHeight="1" x14ac:dyDescent="0.2">
      <c r="A2" s="4" t="s">
        <v>8</v>
      </c>
      <c r="B2" s="7">
        <v>0.82</v>
      </c>
      <c r="C2" s="7">
        <v>0.82</v>
      </c>
      <c r="D2" s="7">
        <v>8.49</v>
      </c>
      <c r="E2" s="8">
        <f t="shared" ref="E2:F2" si="0">C2/1.14</f>
        <v>0.7192982456140351</v>
      </c>
      <c r="F2" s="8">
        <f t="shared" si="0"/>
        <v>7.4473684210526327</v>
      </c>
      <c r="G2" s="10">
        <v>0.36</v>
      </c>
      <c r="H2" s="8">
        <f t="shared" ref="H2:H19" si="1">E2*1.09</f>
        <v>0.78403508771929831</v>
      </c>
      <c r="I2" s="8">
        <f t="shared" ref="I2:I19" si="2">1.09*F2</f>
        <v>8.1176315789473694</v>
      </c>
      <c r="J2" s="8">
        <f t="shared" ref="J2:K2" si="3">H2/1.14</f>
        <v>0.68775007694675294</v>
      </c>
      <c r="K2" s="8">
        <f t="shared" si="3"/>
        <v>7.1207294552169911</v>
      </c>
      <c r="P2" s="8">
        <v>9</v>
      </c>
      <c r="Q2" s="8">
        <v>84.8</v>
      </c>
      <c r="R2" s="8">
        <v>8.5499999999999989</v>
      </c>
      <c r="S2" s="8">
        <v>80.559999999999988</v>
      </c>
      <c r="T2" s="8">
        <v>1.08</v>
      </c>
      <c r="U2" s="8">
        <v>0.88</v>
      </c>
    </row>
    <row r="3" spans="1:21" ht="15.75" customHeight="1" x14ac:dyDescent="0.2">
      <c r="A3" s="4" t="s">
        <v>9</v>
      </c>
      <c r="B3" s="7">
        <v>0.49</v>
      </c>
      <c r="C3" s="7">
        <v>0.49</v>
      </c>
      <c r="D3" s="7">
        <v>6.07</v>
      </c>
      <c r="E3" s="8">
        <f t="shared" ref="E3:F3" si="4">C3/1.14</f>
        <v>0.42982456140350878</v>
      </c>
      <c r="F3" s="8">
        <f t="shared" si="4"/>
        <v>5.3245614035087723</v>
      </c>
      <c r="G3" s="10">
        <v>0.56999999999999995</v>
      </c>
      <c r="H3" s="8">
        <f t="shared" si="1"/>
        <v>0.4685087719298246</v>
      </c>
      <c r="I3" s="8">
        <f t="shared" si="2"/>
        <v>5.8037719298245625</v>
      </c>
      <c r="J3" s="8">
        <f t="shared" ref="J3:K3" si="5">H3/1.14</f>
        <v>0.41097260695598653</v>
      </c>
      <c r="K3" s="8">
        <f t="shared" si="5"/>
        <v>5.0910280086180375</v>
      </c>
      <c r="P3" s="8">
        <v>2.41</v>
      </c>
      <c r="Q3" s="8">
        <v>37.9</v>
      </c>
      <c r="R3" s="8">
        <v>2.2894999999999999</v>
      </c>
      <c r="S3" s="8">
        <v>36.004999999999995</v>
      </c>
    </row>
    <row r="4" spans="1:21" ht="15.75" customHeight="1" x14ac:dyDescent="0.2">
      <c r="A4" s="4" t="s">
        <v>10</v>
      </c>
      <c r="B4" s="7">
        <v>0.65</v>
      </c>
      <c r="C4" s="7">
        <v>0.65</v>
      </c>
      <c r="D4" s="7">
        <v>9.7200000000000006</v>
      </c>
      <c r="E4" s="8">
        <f t="shared" ref="E4:F4" si="6">C4/1.14</f>
        <v>0.57017543859649134</v>
      </c>
      <c r="F4" s="8">
        <f t="shared" si="6"/>
        <v>8.526315789473685</v>
      </c>
      <c r="G4" s="10">
        <v>0.52</v>
      </c>
      <c r="H4" s="8">
        <f t="shared" si="1"/>
        <v>0.62149122807017565</v>
      </c>
      <c r="I4" s="8">
        <f t="shared" si="2"/>
        <v>9.2936842105263171</v>
      </c>
      <c r="J4" s="8">
        <f t="shared" ref="J4:K4" si="7">H4/1.14</f>
        <v>0.5451677439212067</v>
      </c>
      <c r="K4" s="8">
        <f t="shared" si="7"/>
        <v>8.1523545706371205</v>
      </c>
      <c r="P4" s="8">
        <v>6.94</v>
      </c>
      <c r="Q4" s="8">
        <v>25</v>
      </c>
      <c r="R4" s="8">
        <v>6.593</v>
      </c>
      <c r="S4" s="8">
        <v>23.75</v>
      </c>
    </row>
    <row r="5" spans="1:21" ht="15.75" customHeight="1" x14ac:dyDescent="0.2">
      <c r="A5" s="4" t="s">
        <v>11</v>
      </c>
      <c r="B5" s="11">
        <v>0.7</v>
      </c>
      <c r="C5" s="11">
        <v>0.7</v>
      </c>
      <c r="D5" s="12">
        <v>10.5</v>
      </c>
      <c r="E5" s="8">
        <f t="shared" ref="E5:F5" si="8">C5/1.14</f>
        <v>0.61403508771929827</v>
      </c>
      <c r="F5" s="8">
        <f t="shared" si="8"/>
        <v>9.2105263157894743</v>
      </c>
      <c r="G5" s="10">
        <v>0.52</v>
      </c>
      <c r="H5" s="8">
        <f t="shared" si="1"/>
        <v>0.66929824561403517</v>
      </c>
      <c r="I5" s="8">
        <f t="shared" si="2"/>
        <v>10.039473684210527</v>
      </c>
      <c r="J5" s="8">
        <f t="shared" ref="J5:K5" si="9">H5/1.14</f>
        <v>0.58710372422283796</v>
      </c>
      <c r="K5" s="8">
        <f t="shared" si="9"/>
        <v>8.8065558633425685</v>
      </c>
      <c r="P5" s="8">
        <v>6.94</v>
      </c>
      <c r="Q5" s="8">
        <v>25</v>
      </c>
      <c r="R5" s="8">
        <v>6.593</v>
      </c>
      <c r="S5" s="8">
        <v>23.75</v>
      </c>
    </row>
    <row r="6" spans="1:21" ht="15.75" customHeight="1" x14ac:dyDescent="0.2">
      <c r="A6" s="4" t="s">
        <v>26</v>
      </c>
      <c r="B6" s="7">
        <v>0.82</v>
      </c>
      <c r="C6" s="7">
        <v>0.82</v>
      </c>
      <c r="D6" s="12">
        <v>10</v>
      </c>
      <c r="E6" s="8">
        <f t="shared" ref="E6:F6" si="10">C6/1.14</f>
        <v>0.7192982456140351</v>
      </c>
      <c r="F6" s="8">
        <f t="shared" si="10"/>
        <v>8.7719298245614041</v>
      </c>
      <c r="G6" s="10">
        <v>0.3</v>
      </c>
      <c r="H6" s="8">
        <f t="shared" si="1"/>
        <v>0.78403508771929831</v>
      </c>
      <c r="I6" s="8">
        <f t="shared" si="2"/>
        <v>9.5614035087719316</v>
      </c>
      <c r="J6" s="8">
        <f t="shared" ref="J6:K6" si="11">H6/1.14</f>
        <v>0.68775007694675294</v>
      </c>
      <c r="K6" s="8">
        <f t="shared" si="11"/>
        <v>8.3871960603262572</v>
      </c>
      <c r="P6" s="8">
        <v>5</v>
      </c>
      <c r="Q6" s="8">
        <v>35</v>
      </c>
      <c r="R6" s="8">
        <v>4.75</v>
      </c>
      <c r="S6" s="8">
        <v>33.25</v>
      </c>
    </row>
    <row r="7" spans="1:21" ht="15.75" customHeight="1" x14ac:dyDescent="0.25">
      <c r="A7" s="4" t="s">
        <v>15</v>
      </c>
      <c r="B7" s="7">
        <v>1.2E-2</v>
      </c>
      <c r="C7" s="7">
        <v>0</v>
      </c>
      <c r="D7" s="13">
        <v>9.18</v>
      </c>
      <c r="E7" s="8">
        <f t="shared" ref="E7:F7" si="12">C7/1.14</f>
        <v>0</v>
      </c>
      <c r="F7" s="8">
        <f t="shared" si="12"/>
        <v>8.0526315789473681</v>
      </c>
      <c r="G7" s="10">
        <v>0.35</v>
      </c>
      <c r="H7" s="8">
        <f t="shared" si="1"/>
        <v>0</v>
      </c>
      <c r="I7" s="8">
        <f t="shared" si="2"/>
        <v>8.7773684210526319</v>
      </c>
      <c r="J7" s="8">
        <f t="shared" ref="J7:K7" si="13">H7/1.14</f>
        <v>0</v>
      </c>
      <c r="K7" s="8">
        <f t="shared" si="13"/>
        <v>7.6994459833795021</v>
      </c>
      <c r="P7" s="8">
        <v>2.8</v>
      </c>
      <c r="Q7" s="8">
        <v>204</v>
      </c>
      <c r="R7" s="8">
        <v>2.6599999999999997</v>
      </c>
      <c r="S7" s="8">
        <v>193.79999999999998</v>
      </c>
    </row>
    <row r="8" spans="1:21" ht="15.75" customHeight="1" x14ac:dyDescent="0.25">
      <c r="A8" s="4" t="s">
        <v>28</v>
      </c>
      <c r="B8" s="7">
        <v>2.4E-2</v>
      </c>
      <c r="C8" s="7">
        <v>0</v>
      </c>
      <c r="D8" s="13">
        <v>0</v>
      </c>
      <c r="E8" s="8">
        <f t="shared" ref="E8:F8" si="14">C8/1.14</f>
        <v>0</v>
      </c>
      <c r="F8" s="8">
        <f t="shared" si="14"/>
        <v>0</v>
      </c>
      <c r="G8" s="10">
        <v>0</v>
      </c>
      <c r="H8" s="8">
        <f t="shared" si="1"/>
        <v>0</v>
      </c>
      <c r="I8" s="8">
        <f t="shared" si="2"/>
        <v>0</v>
      </c>
      <c r="J8" s="8">
        <f t="shared" ref="J8:K8" si="15">H8/1.14</f>
        <v>0</v>
      </c>
      <c r="K8" s="8">
        <f t="shared" si="15"/>
        <v>0</v>
      </c>
      <c r="P8" s="8">
        <v>0</v>
      </c>
      <c r="Q8" s="8">
        <v>92</v>
      </c>
      <c r="R8" s="8">
        <v>0</v>
      </c>
      <c r="S8" s="8">
        <v>87.399999999999991</v>
      </c>
    </row>
    <row r="9" spans="1:21" ht="15.75" customHeight="1" x14ac:dyDescent="0.25">
      <c r="A9" s="4" t="s">
        <v>19</v>
      </c>
      <c r="B9" s="7">
        <v>4.8000000000000001E-2</v>
      </c>
      <c r="C9" s="7">
        <v>0</v>
      </c>
      <c r="D9" s="13">
        <v>0</v>
      </c>
      <c r="E9" s="8">
        <f t="shared" ref="E9:F9" si="16">C9/1.14</f>
        <v>0</v>
      </c>
      <c r="F9" s="8">
        <f t="shared" si="16"/>
        <v>0</v>
      </c>
      <c r="G9" s="10">
        <v>0</v>
      </c>
      <c r="H9" s="8">
        <f t="shared" si="1"/>
        <v>0</v>
      </c>
      <c r="I9" s="8">
        <f t="shared" si="2"/>
        <v>0</v>
      </c>
      <c r="J9" s="8">
        <f t="shared" ref="J9:K9" si="17">H9/1.14</f>
        <v>0</v>
      </c>
      <c r="K9" s="8">
        <f t="shared" si="17"/>
        <v>0</v>
      </c>
      <c r="P9" s="8">
        <v>0</v>
      </c>
      <c r="Q9" s="8">
        <v>19.72</v>
      </c>
      <c r="R9" s="8">
        <v>0</v>
      </c>
      <c r="S9" s="8">
        <v>18.733999999999998</v>
      </c>
    </row>
    <row r="10" spans="1:21" ht="15.75" customHeight="1" x14ac:dyDescent="0.25">
      <c r="A10" s="4" t="s">
        <v>20</v>
      </c>
      <c r="B10" s="7">
        <v>2.7E-2</v>
      </c>
      <c r="C10" s="7">
        <v>0</v>
      </c>
      <c r="D10" s="13">
        <v>0</v>
      </c>
      <c r="E10" s="8">
        <f t="shared" ref="E10:F10" si="18">C10/1.14</f>
        <v>0</v>
      </c>
      <c r="F10" s="8">
        <f t="shared" si="18"/>
        <v>0</v>
      </c>
      <c r="G10" s="10">
        <v>0</v>
      </c>
      <c r="H10" s="8">
        <f t="shared" si="1"/>
        <v>0</v>
      </c>
      <c r="I10" s="8">
        <f t="shared" si="2"/>
        <v>0</v>
      </c>
      <c r="J10" s="8">
        <f t="shared" ref="J10:K10" si="19">H10/1.14</f>
        <v>0</v>
      </c>
      <c r="K10" s="8">
        <f t="shared" si="19"/>
        <v>0</v>
      </c>
      <c r="P10" s="8">
        <v>2.91</v>
      </c>
      <c r="Q10" s="8">
        <v>74.599999999999994</v>
      </c>
      <c r="R10" s="8">
        <v>2.7645</v>
      </c>
      <c r="S10" s="8">
        <v>70.86999999999999</v>
      </c>
    </row>
    <row r="11" spans="1:21" ht="15.75" customHeight="1" x14ac:dyDescent="0.25">
      <c r="A11" s="4" t="s">
        <v>29</v>
      </c>
      <c r="B11" s="7">
        <v>1.15E-2</v>
      </c>
      <c r="C11" s="7">
        <v>0</v>
      </c>
      <c r="D11" s="13">
        <v>0</v>
      </c>
      <c r="E11" s="8">
        <f t="shared" ref="E11:F11" si="20">C11/1.14</f>
        <v>0</v>
      </c>
      <c r="F11" s="8">
        <f t="shared" si="20"/>
        <v>0</v>
      </c>
      <c r="G11" s="10">
        <v>0</v>
      </c>
      <c r="H11" s="8">
        <f t="shared" si="1"/>
        <v>0</v>
      </c>
      <c r="I11" s="8">
        <f t="shared" si="2"/>
        <v>0</v>
      </c>
      <c r="J11" s="8">
        <f t="shared" ref="J11:K11" si="21">H11/1.14</f>
        <v>0</v>
      </c>
      <c r="K11" s="8">
        <f t="shared" si="21"/>
        <v>0</v>
      </c>
      <c r="P11" s="8">
        <v>0</v>
      </c>
      <c r="Q11" s="8">
        <v>30.91</v>
      </c>
      <c r="R11" s="8">
        <v>0</v>
      </c>
      <c r="S11" s="8">
        <v>29.3645</v>
      </c>
    </row>
    <row r="12" spans="1:21" ht="15.75" customHeight="1" x14ac:dyDescent="0.2">
      <c r="A12" s="4" t="s">
        <v>30</v>
      </c>
      <c r="B12" s="7">
        <v>3.7999999999999999E-2</v>
      </c>
      <c r="C12" s="7">
        <v>0</v>
      </c>
      <c r="D12" s="7">
        <v>0</v>
      </c>
      <c r="E12" s="8">
        <f t="shared" ref="E12:F12" si="22">C12/1.14</f>
        <v>0</v>
      </c>
      <c r="F12" s="8">
        <f t="shared" si="22"/>
        <v>0</v>
      </c>
      <c r="G12" s="10">
        <v>0</v>
      </c>
      <c r="H12" s="8">
        <f t="shared" si="1"/>
        <v>0</v>
      </c>
      <c r="I12" s="8">
        <f t="shared" si="2"/>
        <v>0</v>
      </c>
      <c r="J12" s="8">
        <f t="shared" ref="J12:K12" si="23">H12/1.14</f>
        <v>0</v>
      </c>
      <c r="K12" s="8">
        <f t="shared" si="23"/>
        <v>0</v>
      </c>
      <c r="P12" s="8">
        <v>5</v>
      </c>
      <c r="Q12" s="8">
        <v>164</v>
      </c>
      <c r="R12" s="8">
        <v>4.75</v>
      </c>
      <c r="S12" s="8">
        <v>155.79999999999998</v>
      </c>
    </row>
    <row r="13" spans="1:21" ht="15.75" customHeight="1" x14ac:dyDescent="0.2">
      <c r="A13" s="4" t="s">
        <v>12</v>
      </c>
      <c r="B13" s="7">
        <v>0.49</v>
      </c>
      <c r="C13" s="7">
        <v>0.49</v>
      </c>
      <c r="D13" s="7">
        <v>6.07</v>
      </c>
      <c r="E13" s="8">
        <f t="shared" ref="E13:F13" si="24">C13/1.14</f>
        <v>0.42982456140350878</v>
      </c>
      <c r="F13" s="8">
        <f t="shared" si="24"/>
        <v>5.3245614035087723</v>
      </c>
      <c r="G13" s="10">
        <v>0.56999999999999995</v>
      </c>
      <c r="H13" s="8">
        <f t="shared" si="1"/>
        <v>0.4685087719298246</v>
      </c>
      <c r="I13" s="8">
        <f t="shared" si="2"/>
        <v>5.8037719298245625</v>
      </c>
      <c r="J13" s="8">
        <f t="shared" ref="J13:K13" si="25">H13/1.14</f>
        <v>0.41097260695598653</v>
      </c>
      <c r="K13" s="8">
        <f t="shared" si="25"/>
        <v>5.0910280086180375</v>
      </c>
      <c r="P13" s="8">
        <v>1.9279999999999999</v>
      </c>
      <c r="Q13" s="8">
        <v>37.9</v>
      </c>
      <c r="R13" s="8">
        <v>1.8315999999999999</v>
      </c>
      <c r="S13" s="8">
        <v>36.004999999999995</v>
      </c>
    </row>
    <row r="14" spans="1:21" ht="15.75" customHeight="1" x14ac:dyDescent="0.2">
      <c r="A14" s="4" t="s">
        <v>72</v>
      </c>
      <c r="B14" s="7">
        <v>0.23</v>
      </c>
      <c r="C14" s="7">
        <v>0.23</v>
      </c>
      <c r="D14" s="11">
        <v>0.3</v>
      </c>
      <c r="E14" s="8">
        <f t="shared" ref="E14:F14" si="26">C14/1.14</f>
        <v>0.2017543859649123</v>
      </c>
      <c r="F14" s="8">
        <f t="shared" si="26"/>
        <v>0.26315789473684209</v>
      </c>
      <c r="G14" s="10">
        <v>0</v>
      </c>
      <c r="H14" s="8">
        <f t="shared" si="1"/>
        <v>0.21991228070175442</v>
      </c>
      <c r="I14" s="8">
        <f t="shared" si="2"/>
        <v>0.2868421052631579</v>
      </c>
      <c r="J14" s="8">
        <f t="shared" ref="J14:K14" si="27">H14/1.14</f>
        <v>0.19290550938750389</v>
      </c>
      <c r="K14" s="8">
        <f t="shared" si="27"/>
        <v>0.25161588180978767</v>
      </c>
      <c r="P14" s="8">
        <v>11.66</v>
      </c>
      <c r="Q14" s="8">
        <v>164</v>
      </c>
      <c r="R14" s="8">
        <v>11.077</v>
      </c>
      <c r="S14" s="8">
        <v>155.79999999999998</v>
      </c>
    </row>
    <row r="15" spans="1:21" ht="15.75" customHeight="1" x14ac:dyDescent="0.2">
      <c r="A15" s="4" t="s">
        <v>73</v>
      </c>
      <c r="B15" s="22">
        <v>0.49</v>
      </c>
      <c r="C15" s="22">
        <v>0.49</v>
      </c>
      <c r="D15" s="22">
        <v>6.07</v>
      </c>
      <c r="E15" s="8">
        <f t="shared" ref="E15:F15" si="28">C15/1.14</f>
        <v>0.42982456140350878</v>
      </c>
      <c r="F15" s="8">
        <f t="shared" si="28"/>
        <v>5.3245614035087723</v>
      </c>
      <c r="G15" s="10">
        <v>0</v>
      </c>
      <c r="H15" s="8">
        <f t="shared" si="1"/>
        <v>0.4685087719298246</v>
      </c>
      <c r="I15" s="8">
        <f t="shared" si="2"/>
        <v>5.8037719298245625</v>
      </c>
      <c r="J15" s="8">
        <f t="shared" ref="J15:K15" si="29">H15/1.14</f>
        <v>0.41097260695598653</v>
      </c>
      <c r="K15" s="8">
        <f t="shared" si="29"/>
        <v>5.0910280086180375</v>
      </c>
      <c r="P15" s="8">
        <v>2.6487000000000003</v>
      </c>
      <c r="Q15" s="8">
        <v>41.311</v>
      </c>
      <c r="R15" s="8">
        <v>2.3234210526315793</v>
      </c>
      <c r="S15" s="8">
        <v>36.237719298245615</v>
      </c>
    </row>
    <row r="16" spans="1:21" ht="15.75" customHeight="1" x14ac:dyDescent="0.25">
      <c r="A16" s="4" t="s">
        <v>24</v>
      </c>
      <c r="B16" s="7">
        <v>0</v>
      </c>
      <c r="C16" s="7">
        <v>0</v>
      </c>
      <c r="D16" s="13">
        <v>0</v>
      </c>
      <c r="E16" s="8">
        <f t="shared" ref="E16:F16" si="30">C16/1.14</f>
        <v>0</v>
      </c>
      <c r="F16" s="8">
        <f t="shared" si="30"/>
        <v>0</v>
      </c>
      <c r="G16" s="10">
        <v>0</v>
      </c>
      <c r="H16" s="8">
        <f t="shared" si="1"/>
        <v>0</v>
      </c>
      <c r="I16" s="8">
        <f t="shared" si="2"/>
        <v>0</v>
      </c>
      <c r="J16" s="8">
        <f t="shared" ref="J16:K16" si="31">H16/1.14</f>
        <v>0</v>
      </c>
      <c r="K16" s="8">
        <f t="shared" si="31"/>
        <v>0</v>
      </c>
      <c r="P16" s="8">
        <v>0</v>
      </c>
      <c r="Q16" s="8">
        <v>40.31</v>
      </c>
      <c r="R16" s="8">
        <v>0</v>
      </c>
      <c r="S16" s="8">
        <v>38.294499999999999</v>
      </c>
    </row>
    <row r="17" spans="1:19" ht="15.75" customHeight="1" x14ac:dyDescent="0.2">
      <c r="A17" s="4" t="s">
        <v>31</v>
      </c>
      <c r="B17" s="22">
        <f t="shared" ref="B17:F17" si="32">0.67*B7+0.15*B8+0.09*B11+0.04*B9+0.05*B3</f>
        <v>3.9095000000000005E-2</v>
      </c>
      <c r="C17" s="22">
        <f t="shared" si="32"/>
        <v>2.4500000000000001E-2</v>
      </c>
      <c r="D17" s="22">
        <f t="shared" si="32"/>
        <v>6.4540999999999995</v>
      </c>
      <c r="E17" s="22">
        <f t="shared" si="32"/>
        <v>2.1491228070175439E-2</v>
      </c>
      <c r="F17" s="22">
        <f t="shared" si="32"/>
        <v>5.6614912280701759</v>
      </c>
      <c r="G17" s="10">
        <v>0</v>
      </c>
      <c r="H17" s="8">
        <f t="shared" si="1"/>
        <v>2.3425438596491231E-2</v>
      </c>
      <c r="I17" s="8">
        <f t="shared" si="2"/>
        <v>6.1710254385964918</v>
      </c>
      <c r="J17" s="8">
        <f t="shared" ref="J17:K17" si="33">H17/1.14</f>
        <v>2.0548630347799326E-2</v>
      </c>
      <c r="K17" s="8">
        <f t="shared" si="33"/>
        <v>5.4131802092951684</v>
      </c>
      <c r="P17" s="8">
        <v>2.0673757500000001</v>
      </c>
      <c r="Q17" s="8">
        <v>161.48177235</v>
      </c>
      <c r="R17" s="8">
        <v>1.8134875000000001</v>
      </c>
      <c r="S17" s="8">
        <v>141.6506775</v>
      </c>
    </row>
    <row r="18" spans="1:19" ht="15.75" customHeight="1" x14ac:dyDescent="0.2">
      <c r="A18" s="4" t="s">
        <v>33</v>
      </c>
      <c r="B18" s="11">
        <f t="shared" ref="B18:F18" si="34">0.55*B2+0.2*B3+0.2*B11+0.035*B9</f>
        <v>0.55298000000000003</v>
      </c>
      <c r="C18" s="11">
        <f t="shared" si="34"/>
        <v>0.54900000000000004</v>
      </c>
      <c r="D18" s="11">
        <f t="shared" si="34"/>
        <v>5.8835000000000006</v>
      </c>
      <c r="E18" s="11">
        <f t="shared" si="34"/>
        <v>0.48157894736842111</v>
      </c>
      <c r="F18" s="11">
        <f t="shared" si="34"/>
        <v>5.1609649122807033</v>
      </c>
      <c r="G18" s="10">
        <v>0</v>
      </c>
      <c r="H18" s="8">
        <f t="shared" si="1"/>
        <v>0.52492105263157907</v>
      </c>
      <c r="I18" s="8">
        <f t="shared" si="2"/>
        <v>5.625451754385967</v>
      </c>
      <c r="J18" s="8">
        <f t="shared" ref="J18:K18" si="35">H18/1.14</f>
        <v>0.46045706371191147</v>
      </c>
      <c r="K18" s="8">
        <f t="shared" si="35"/>
        <v>4.9346068020929543</v>
      </c>
      <c r="P18" s="8">
        <v>5.6248359999999993</v>
      </c>
      <c r="Q18" s="8">
        <v>63.260973100000008</v>
      </c>
      <c r="R18" s="8">
        <v>4.9340666666666664</v>
      </c>
      <c r="S18" s="8">
        <v>55.492081666666678</v>
      </c>
    </row>
    <row r="19" spans="1:19" ht="15.75" customHeight="1" x14ac:dyDescent="0.2">
      <c r="A19" s="4" t="s">
        <v>32</v>
      </c>
      <c r="B19" s="11">
        <f t="shared" ref="B19:F19" si="36">0.3*B11+0.47*B8+0.09*B3+0.08*B9+0.4*B12</f>
        <v>7.7870000000000009E-2</v>
      </c>
      <c r="C19" s="11">
        <f t="shared" si="36"/>
        <v>4.41E-2</v>
      </c>
      <c r="D19" s="11">
        <f t="shared" si="36"/>
        <v>0.54630000000000001</v>
      </c>
      <c r="E19" s="11">
        <f t="shared" si="36"/>
        <v>3.8684210526315786E-2</v>
      </c>
      <c r="F19" s="11">
        <f t="shared" si="36"/>
        <v>0.47921052631578948</v>
      </c>
      <c r="G19" s="10">
        <v>0</v>
      </c>
      <c r="H19" s="8">
        <f t="shared" si="1"/>
        <v>4.2165789473684212E-2</v>
      </c>
      <c r="I19" s="8">
        <f t="shared" si="2"/>
        <v>0.52233947368421052</v>
      </c>
      <c r="J19" s="8">
        <f t="shared" ref="J19:K19" si="37">H19/1.14</f>
        <v>3.6987534626038786E-2</v>
      </c>
      <c r="K19" s="8">
        <f t="shared" si="37"/>
        <v>0.45819252077562328</v>
      </c>
      <c r="P19" s="8">
        <v>2.2955999500000002</v>
      </c>
      <c r="Q19" s="8">
        <v>127.47170680000001</v>
      </c>
      <c r="R19" s="8">
        <v>2.0136841666666672</v>
      </c>
      <c r="S19" s="8">
        <v>111.81728666666669</v>
      </c>
    </row>
    <row r="20" spans="1:19" ht="15.75" customHeight="1" x14ac:dyDescent="0.25">
      <c r="A20" s="19" t="s">
        <v>18</v>
      </c>
      <c r="B20" s="7"/>
      <c r="C20" s="7"/>
      <c r="D20" s="13"/>
      <c r="E20" s="26">
        <v>0.57999999999999996</v>
      </c>
      <c r="F20" s="8">
        <v>20.149999999999999</v>
      </c>
      <c r="H20" s="8">
        <f t="shared" ref="H20:I20" si="38">E20*0.95</f>
        <v>0.55099999999999993</v>
      </c>
      <c r="I20" s="10">
        <f t="shared" si="38"/>
        <v>19.142499999999998</v>
      </c>
    </row>
    <row r="23" spans="1:19" ht="12.75" x14ac:dyDescent="0.2">
      <c r="A23" s="8" t="s">
        <v>52</v>
      </c>
      <c r="B23" s="8" t="s">
        <v>53</v>
      </c>
    </row>
    <row r="24" spans="1:19" ht="12.75" x14ac:dyDescent="0.2">
      <c r="A24" s="8" t="s">
        <v>54</v>
      </c>
    </row>
    <row r="25" spans="1:19" ht="12.75" x14ac:dyDescent="0.2">
      <c r="A25" s="8" t="s">
        <v>55</v>
      </c>
    </row>
    <row r="26" spans="1:19" ht="12.75" x14ac:dyDescent="0.2">
      <c r="A26" s="8" t="s">
        <v>56</v>
      </c>
    </row>
    <row r="27" spans="1:19" ht="12.75" x14ac:dyDescent="0.2">
      <c r="A27" s="8" t="s">
        <v>57</v>
      </c>
    </row>
    <row r="28" spans="1:19" ht="12.75" x14ac:dyDescent="0.2">
      <c r="A28" s="25" t="s">
        <v>74</v>
      </c>
    </row>
    <row r="29" spans="1:19" ht="12.75" x14ac:dyDescent="0.2">
      <c r="A29" s="25" t="s">
        <v>75</v>
      </c>
    </row>
    <row r="30" spans="1:19" ht="12.75" x14ac:dyDescent="0.2">
      <c r="A30" s="8" t="s">
        <v>60</v>
      </c>
    </row>
  </sheetData>
  <hyperlinks>
    <hyperlink ref="A28" r:id="rId1" xr:uid="{00000000-0004-0000-0300-000000000000}"/>
    <hyperlink ref="A29" r:id="rId2" xr:uid="{00000000-0004-0000-03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Sheet1</vt:lpstr>
      <vt:lpstr>PNIEC(page625)efficiency</vt:lpstr>
      <vt:lpstr>Assumptions</vt:lpstr>
      <vt:lpstr>Sheet1 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Orive Vidal, Pau (BEC)</cp:lastModifiedBy>
  <dcterms:created xsi:type="dcterms:W3CDTF">2025-07-11T15:17:07Z</dcterms:created>
  <dcterms:modified xsi:type="dcterms:W3CDTF">2026-03-27T10:32:44Z</dcterms:modified>
</cp:coreProperties>
</file>